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week-01\"/>
    </mc:Choice>
  </mc:AlternateContent>
  <xr:revisionPtr revIDLastSave="0" documentId="8_{DDE7C400-7DA4-451B-AD83-3619F92219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6" i="1"/>
  <c r="O6" i="1"/>
  <c r="K6" i="1"/>
  <c r="L6" i="1"/>
  <c r="J6" i="1"/>
  <c r="D6" i="1"/>
  <c r="D2" i="1"/>
  <c r="D3" i="1"/>
  <c r="D4" i="1"/>
  <c r="D5" i="1"/>
</calcChain>
</file>

<file path=xl/sharedStrings.xml><?xml version="1.0" encoding="utf-8"?>
<sst xmlns="http://schemas.openxmlformats.org/spreadsheetml/2006/main" count="43" uniqueCount="32">
  <si>
    <t>ID</t>
  </si>
  <si>
    <t>Start time</t>
  </si>
  <si>
    <t>Completion time</t>
  </si>
  <si>
    <t>Email</t>
  </si>
  <si>
    <t>Name</t>
  </si>
  <si>
    <t>Last modified time</t>
  </si>
  <si>
    <t>Would you like to remain anonymous or provide your name?</t>
  </si>
  <si>
    <t>How did you receive your order today?</t>
  </si>
  <si>
    <t>How would you rate the friendliness of the staff?</t>
  </si>
  <si>
    <t>How satisfied were you with the speed of the service?</t>
  </si>
  <si>
    <t>How would you rate the value you received for the price you paid?</t>
  </si>
  <si>
    <t>Our Pricing:</t>
  </si>
  <si>
    <t>How would you rate the quality and freshness of your dessert(s)?</t>
  </si>
  <si>
    <t>Hoow satisfied ar you with the variety of dessert options available?</t>
  </si>
  <si>
    <t>jcarter1@my.yearupunited.org</t>
  </si>
  <si>
    <t>jada carter</t>
  </si>
  <si>
    <t>Anonymous</t>
  </si>
  <si>
    <t>Takeout /To Go</t>
  </si>
  <si>
    <t>About Right</t>
  </si>
  <si>
    <t>cspringer@my.yearupunited.org</t>
  </si>
  <si>
    <t>christopher springer</t>
  </si>
  <si>
    <t>Slightly Too Expensive</t>
  </si>
  <si>
    <t>dmendez1@my.yearupunited.org</t>
  </si>
  <si>
    <t>denae mendez</t>
  </si>
  <si>
    <t>Dined In</t>
  </si>
  <si>
    <t>aahmed1@my.yearupunited.org</t>
  </si>
  <si>
    <t>alvie ahmed</t>
  </si>
  <si>
    <t>Time to Complete</t>
  </si>
  <si>
    <t>Row Labels</t>
  </si>
  <si>
    <t>Grand Total</t>
  </si>
  <si>
    <t>Sum of How satisfied were you with the speed of the service?</t>
  </si>
  <si>
    <t>Sum of How would you rate the friendliness of the staff?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</si>
</sst>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22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27" formatCode="m/d/yyyy\ h:mm"/>
    </dxf>
    <dxf>
      <numFmt numFmtId="27" formatCode="m/d/yyyy\ h:mm"/>
    </dxf>
    <dxf>
      <numFmt numFmtId="0" formatCode="General"/>
    </dxf>
    <dxf>
      <numFmt numFmtId="28" formatCode="mm:ss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[Ex5B_Martha's Bakery Customer Experience Survey(1-4).xlsx]Sheet2!PivotTable2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How would you rate the friendliness of the staff?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4"/>
                <c:pt idx="0">
                  <c:v>alvie ahmed</c:v>
                </c:pt>
                <c:pt idx="1">
                  <c:v>christopher springer</c:v>
                </c:pt>
                <c:pt idx="2">
                  <c:v>denae mendez</c:v>
                </c:pt>
                <c:pt idx="3">
                  <c:v>jada carter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A-46C1-ACFB-249BF14C4E53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How satisfied were you with the speed of the service?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4"/>
                <c:pt idx="0">
                  <c:v>alvie ahmed</c:v>
                </c:pt>
                <c:pt idx="1">
                  <c:v>christopher springer</c:v>
                </c:pt>
                <c:pt idx="2">
                  <c:v>denae mendez</c:v>
                </c:pt>
                <c:pt idx="3">
                  <c:v>jada carter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FA-46C1-ACFB-249BF14C4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293024"/>
        <c:axId val="1662309840"/>
      </c:lineChart>
      <c:catAx>
        <c:axId val="176029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09840"/>
        <c:crosses val="autoZero"/>
        <c:auto val="1"/>
        <c:lblAlgn val="ctr"/>
        <c:lblOffset val="100"/>
        <c:noMultiLvlLbl val="0"/>
      </c:catAx>
      <c:valAx>
        <c:axId val="16623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9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38100</xdr:rowOff>
    </xdr:from>
    <xdr:to>
      <xdr:col>2</xdr:col>
      <xdr:colOff>15240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69E93-A121-B4C0-862D-72DB2CC5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onsae mccutcheon" refreshedDate="46315.568919212965" createdVersion="8" refreshedVersion="8" minRefreshableVersion="3" recordCount="4" xr:uid="{A17EF42C-A07B-495A-A6AB-4AD744368AD9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4"/>
    </cacheField>
    <cacheField name="Start time" numFmtId="22">
      <sharedItems containsSemiMixedTypes="0" containsNonDate="0" containsDate="1" containsString="0" minDate="2026-10-16T00:09:37" maxDate="2026-10-19T23:13:46"/>
    </cacheField>
    <cacheField name="Completion time" numFmtId="22">
      <sharedItems containsSemiMixedTypes="0" containsNonDate="0" containsDate="1" containsString="0" minDate="2026-10-16T00:10:34" maxDate="2026-10-19T23:14:14"/>
    </cacheField>
    <cacheField name="Time to Complete" numFmtId="45">
      <sharedItems containsSemiMixedTypes="0" containsNonDate="0" containsDate="1" containsString="0" minDate="1899-12-30T00:00:28" maxDate="1899-12-30T00:02:42"/>
    </cacheField>
    <cacheField name="Email" numFmtId="0">
      <sharedItems/>
    </cacheField>
    <cacheField name="Name" numFmtId="0">
      <sharedItems count="4">
        <s v="jada carter"/>
        <s v="christopher springer"/>
        <s v="denae mendez"/>
        <s v="alvie ahmed"/>
      </sharedItems>
    </cacheField>
    <cacheField name="Last modified time" numFmtId="164">
      <sharedItems containsNonDate="0" containsString="0" containsBlank="1"/>
    </cacheField>
    <cacheField name="Would you like to remain anonymous or provide your name?" numFmtId="0">
      <sharedItems/>
    </cacheField>
    <cacheField name="How did you receive your order today?" numFmtId="0">
      <sharedItems/>
    </cacheField>
    <cacheField name="How would you rate the friendliness of the staff?" numFmtId="0">
      <sharedItems containsSemiMixedTypes="0" containsString="0" containsNumber="1" containsInteger="1" minValue="4" maxValue="5"/>
    </cacheField>
    <cacheField name="How satisfied were you with the speed of the service?" numFmtId="0">
      <sharedItems containsSemiMixedTypes="0" containsString="0" containsNumber="1" containsInteger="1" minValue="4" maxValue="5"/>
    </cacheField>
    <cacheField name="How would you rate the value you received for the price you paid?" numFmtId="0">
      <sharedItems containsSemiMixedTypes="0" containsString="0" containsNumber="1" containsInteger="1" minValue="4" maxValue="4"/>
    </cacheField>
    <cacheField name="Our Pricing:" numFmtId="0">
      <sharedItems/>
    </cacheField>
    <cacheField name="How would you rate the quality and freshness of your dessert(s)?" numFmtId="0">
      <sharedItems containsSemiMixedTypes="0" containsString="0" containsNumber="1" containsInteger="1" minValue="4" maxValue="5"/>
    </cacheField>
    <cacheField name="Hoow satisfied ar you with the variety of dessert options available?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d v="2026-10-16T00:09:37"/>
    <d v="2026-10-16T00:10:34"/>
    <d v="1899-12-30T00:00:57"/>
    <s v="jcarter1@my.yearupunited.org"/>
    <x v="0"/>
    <m/>
    <s v="Anonymous"/>
    <s v="Takeout /To Go"/>
    <n v="4"/>
    <n v="5"/>
    <n v="4"/>
    <s v="About Right"/>
    <n v="4"/>
    <n v="3"/>
  </r>
  <r>
    <n v="2"/>
    <d v="2026-10-16T13:42:04"/>
    <d v="2026-10-16T13:44:46"/>
    <d v="1899-12-30T00:02:42"/>
    <s v="cspringer@my.yearupunited.org"/>
    <x v="1"/>
    <m/>
    <s v="Anonymous"/>
    <s v="Takeout /To Go"/>
    <n v="5"/>
    <n v="4"/>
    <n v="4"/>
    <s v="Slightly Too Expensive"/>
    <n v="5"/>
    <n v="5"/>
  </r>
  <r>
    <n v="3"/>
    <d v="2026-10-16T16:53:00"/>
    <d v="2026-10-16T16:53:57"/>
    <d v="1899-12-30T00:00:57"/>
    <s v="dmendez1@my.yearupunited.org"/>
    <x v="2"/>
    <m/>
    <s v="Anonymous"/>
    <s v="Dined In"/>
    <n v="5"/>
    <n v="5"/>
    <n v="4"/>
    <s v="Slightly Too Expensive"/>
    <n v="5"/>
    <n v="4"/>
  </r>
  <r>
    <n v="4"/>
    <d v="2026-10-19T23:13:46"/>
    <d v="2026-10-19T23:14:14"/>
    <d v="1899-12-30T00:00:28"/>
    <s v="aahmed1@my.yearupunited.org"/>
    <x v="3"/>
    <m/>
    <s v="Anonymous"/>
    <s v="Takeout /To Go"/>
    <n v="5"/>
    <n v="4"/>
    <n v="4"/>
    <s v="Slightly Too Expensive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08EA2-5F21-49FF-8585-A0CA95F5EDF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6" firstHeaderRow="0" firstDataRow="1" firstDataCol="1"/>
  <pivotFields count="15">
    <pivotField showAll="0"/>
    <pivotField numFmtId="22" showAll="0"/>
    <pivotField numFmtId="22" showAll="0"/>
    <pivotField numFmtId="45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w would you rate the friendliness of the staff?" fld="9" baseField="0" baseItem="0"/>
    <dataField name="Sum of How satisfied were you with the speed of the service?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" totalsRowCount="1">
  <autoFilter ref="A1:O5" xr:uid="{00000000-0009-0000-0100-000001000000}"/>
  <tableColumns count="15">
    <tableColumn id="1" xr3:uid="{00000000-0010-0000-0000-000001000000}" name="ID" dataDxfId="18" totalsRowDxfId="14"/>
    <tableColumn id="2" xr3:uid="{00000000-0010-0000-0000-000002000000}" name="Start time" dataDxfId="17" totalsRowDxfId="13"/>
    <tableColumn id="3" xr3:uid="{00000000-0010-0000-0000-000003000000}" name="Completion time" dataDxfId="16" totalsRowDxfId="12"/>
    <tableColumn id="16" xr3:uid="{2149B299-9052-40E6-A150-EC188781FFB7}" name="Time to Complete" totalsRowFunction="custom" dataDxfId="15" totalsRowDxfId="11">
      <calculatedColumnFormula>C2-B2</calculatedColumnFormula>
      <totalsRowFormula>AVERAGE(D2:D5)</totalsRowFormula>
    </tableColumn>
    <tableColumn id="4" xr3:uid="{00000000-0010-0000-0000-000004000000}" name="Email" dataDxfId="29" totalsRowDxfId="10"/>
    <tableColumn id="5" xr3:uid="{00000000-0010-0000-0000-000005000000}" name="Name" dataDxfId="28" totalsRowDxfId="9"/>
    <tableColumn id="6" xr3:uid="{00000000-0010-0000-0000-000006000000}" name="Last modified time" dataDxfId="27" totalsRowDxfId="8"/>
    <tableColumn id="7" xr3:uid="{00000000-0010-0000-0000-000007000000}" name="Would you like to remain anonymous or provide your name?" dataDxfId="26" totalsRowDxfId="7"/>
    <tableColumn id="8" xr3:uid="{00000000-0010-0000-0000-000008000000}" name="How did you receive your order today?" dataDxfId="25" totalsRowDxfId="6"/>
    <tableColumn id="9" xr3:uid="{00000000-0010-0000-0000-000009000000}" name="How would you rate the friendliness of the staff?" totalsRowFunction="custom" dataDxfId="24" totalsRowDxfId="5">
      <totalsRowFormula>AVERAGE(J2:J5)</totalsRowFormula>
    </tableColumn>
    <tableColumn id="10" xr3:uid="{00000000-0010-0000-0000-00000A000000}" name="How satisfied were you with the speed of the service?" totalsRowFunction="custom" dataDxfId="23" totalsRowDxfId="4">
      <totalsRowFormula>AVERAGE(K2:K5)</totalsRowFormula>
    </tableColumn>
    <tableColumn id="11" xr3:uid="{00000000-0010-0000-0000-00000B000000}" name="How would you rate the value you received for the price you paid?" totalsRowFunction="custom" dataDxfId="22" totalsRowDxfId="3">
      <totalsRowFormula>AVERAGE(L2:L5)</totalsRowFormula>
    </tableColumn>
    <tableColumn id="12" xr3:uid="{00000000-0010-0000-0000-00000C000000}" name="Our Pricing:" totalsRowFunction="custom" dataDxfId="21" totalsRowDxfId="2">
      <totalsRowFormula>COUNTIF(Table1[Our Pricing:],"Slightly Too Expensive")</totalsRowFormula>
    </tableColumn>
    <tableColumn id="13" xr3:uid="{00000000-0010-0000-0000-00000D000000}" name="How would you rate the quality and freshness of your dessert(s)?" totalsRowFunction="custom" dataDxfId="20" totalsRowDxfId="1">
      <totalsRowFormula>AVERAGE(N2:N5)</totalsRowFormula>
    </tableColumn>
    <tableColumn id="14" xr3:uid="{00000000-0010-0000-0000-00000E000000}" name="Hoow satisfied ar you with the variety of dessert options available?" totalsRowFunction="custom" dataDxfId="19" totalsRowDxfId="0">
      <totalsRowFormula>AVERAGE(O2:O5)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2FBF-0A02-4097-8751-1470E9D1B359}">
  <dimension ref="A1:C6"/>
  <sheetViews>
    <sheetView tabSelected="1" workbookViewId="0"/>
  </sheetViews>
  <sheetFormatPr defaultRowHeight="14.4" x14ac:dyDescent="0.3"/>
  <cols>
    <col min="1" max="1" width="17.33203125" bestFit="1" customWidth="1"/>
    <col min="2" max="2" width="49.109375" bestFit="1" customWidth="1"/>
    <col min="3" max="3" width="53.21875" bestFit="1" customWidth="1"/>
  </cols>
  <sheetData>
    <row r="1" spans="1:3" x14ac:dyDescent="0.3">
      <c r="A1" s="5" t="s">
        <v>28</v>
      </c>
      <c r="B1" t="s">
        <v>31</v>
      </c>
      <c r="C1" t="s">
        <v>30</v>
      </c>
    </row>
    <row r="2" spans="1:3" x14ac:dyDescent="0.3">
      <c r="A2" s="6" t="s">
        <v>26</v>
      </c>
      <c r="B2" s="2">
        <v>5</v>
      </c>
      <c r="C2" s="2">
        <v>4</v>
      </c>
    </row>
    <row r="3" spans="1:3" x14ac:dyDescent="0.3">
      <c r="A3" s="6" t="s">
        <v>20</v>
      </c>
      <c r="B3" s="2">
        <v>5</v>
      </c>
      <c r="C3" s="2">
        <v>4</v>
      </c>
    </row>
    <row r="4" spans="1:3" x14ac:dyDescent="0.3">
      <c r="A4" s="6" t="s">
        <v>23</v>
      </c>
      <c r="B4" s="2">
        <v>5</v>
      </c>
      <c r="C4" s="2">
        <v>5</v>
      </c>
    </row>
    <row r="5" spans="1:3" x14ac:dyDescent="0.3">
      <c r="A5" s="6" t="s">
        <v>15</v>
      </c>
      <c r="B5" s="2">
        <v>4</v>
      </c>
      <c r="C5" s="2">
        <v>5</v>
      </c>
    </row>
    <row r="6" spans="1:3" x14ac:dyDescent="0.3">
      <c r="A6" s="6" t="s">
        <v>29</v>
      </c>
      <c r="B6" s="2">
        <v>19</v>
      </c>
      <c r="C6" s="2">
        <v>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zoomScale="44" workbookViewId="0">
      <selection activeCell="O6" sqref="O6"/>
    </sheetView>
  </sheetViews>
  <sheetFormatPr defaultRowHeight="14.4" x14ac:dyDescent="0.3"/>
  <cols>
    <col min="1" max="1" width="20" bestFit="1" customWidth="1"/>
    <col min="2" max="3" width="20" style="3" bestFit="1" customWidth="1"/>
    <col min="4" max="4" width="20" style="4" customWidth="1"/>
    <col min="5" max="15" width="20" bestFit="1" customWidth="1"/>
  </cols>
  <sheetData>
    <row r="1" spans="1:15" x14ac:dyDescent="0.3">
      <c r="A1" t="s">
        <v>0</v>
      </c>
      <c r="B1" s="3" t="s">
        <v>1</v>
      </c>
      <c r="C1" s="3" t="s">
        <v>2</v>
      </c>
      <c r="D1" s="4" t="s">
        <v>27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s="3">
        <v>46311.006678240738</v>
      </c>
      <c r="C2" s="3">
        <v>46311.007337962961</v>
      </c>
      <c r="D2" s="4">
        <f t="shared" ref="D2:D5" si="0">C2-B2</f>
        <v>6.5972222364507616E-4</v>
      </c>
      <c r="E2" t="s">
        <v>14</v>
      </c>
      <c r="F2" t="s">
        <v>15</v>
      </c>
      <c r="G2" s="1"/>
      <c r="H2" t="s">
        <v>16</v>
      </c>
      <c r="I2" t="s">
        <v>17</v>
      </c>
      <c r="J2">
        <v>4</v>
      </c>
      <c r="K2">
        <v>5</v>
      </c>
      <c r="L2">
        <v>4</v>
      </c>
      <c r="M2" t="s">
        <v>18</v>
      </c>
      <c r="N2">
        <v>4</v>
      </c>
      <c r="O2">
        <v>3</v>
      </c>
    </row>
    <row r="3" spans="1:15" x14ac:dyDescent="0.3">
      <c r="A3">
        <v>2</v>
      </c>
      <c r="B3" s="3">
        <v>46311.570879629631</v>
      </c>
      <c r="C3" s="3">
        <v>46311.572754629633</v>
      </c>
      <c r="D3" s="4">
        <f t="shared" si="0"/>
        <v>1.8750000017462298E-3</v>
      </c>
      <c r="E3" t="s">
        <v>19</v>
      </c>
      <c r="F3" t="s">
        <v>20</v>
      </c>
      <c r="G3" s="1"/>
      <c r="H3" t="s">
        <v>16</v>
      </c>
      <c r="I3" t="s">
        <v>17</v>
      </c>
      <c r="J3">
        <v>5</v>
      </c>
      <c r="K3">
        <v>4</v>
      </c>
      <c r="L3">
        <v>4</v>
      </c>
      <c r="M3" t="s">
        <v>21</v>
      </c>
      <c r="N3">
        <v>5</v>
      </c>
      <c r="O3">
        <v>5</v>
      </c>
    </row>
    <row r="4" spans="1:15" x14ac:dyDescent="0.3">
      <c r="A4">
        <v>3</v>
      </c>
      <c r="B4" s="3">
        <v>46311.703472222223</v>
      </c>
      <c r="C4" s="3">
        <v>46311.704131944447</v>
      </c>
      <c r="D4" s="4">
        <f t="shared" si="0"/>
        <v>6.5972222364507616E-4</v>
      </c>
      <c r="E4" t="s">
        <v>22</v>
      </c>
      <c r="F4" t="s">
        <v>23</v>
      </c>
      <c r="G4" s="1"/>
      <c r="H4" t="s">
        <v>16</v>
      </c>
      <c r="I4" t="s">
        <v>24</v>
      </c>
      <c r="J4">
        <v>5</v>
      </c>
      <c r="K4">
        <v>5</v>
      </c>
      <c r="L4">
        <v>4</v>
      </c>
      <c r="M4" t="s">
        <v>21</v>
      </c>
      <c r="N4">
        <v>5</v>
      </c>
      <c r="O4">
        <v>4</v>
      </c>
    </row>
    <row r="5" spans="1:15" x14ac:dyDescent="0.3">
      <c r="A5">
        <v>4</v>
      </c>
      <c r="B5" s="3">
        <v>46314.967893518522</v>
      </c>
      <c r="C5" s="3">
        <v>46314.968217592592</v>
      </c>
      <c r="D5" s="4">
        <f t="shared" si="0"/>
        <v>3.2407406979473308E-4</v>
      </c>
      <c r="E5" t="s">
        <v>25</v>
      </c>
      <c r="F5" t="s">
        <v>26</v>
      </c>
      <c r="G5" s="1"/>
      <c r="H5" t="s">
        <v>16</v>
      </c>
      <c r="I5" t="s">
        <v>17</v>
      </c>
      <c r="J5">
        <v>5</v>
      </c>
      <c r="K5">
        <v>4</v>
      </c>
      <c r="L5">
        <v>4</v>
      </c>
      <c r="M5" t="s">
        <v>21</v>
      </c>
      <c r="N5">
        <v>5</v>
      </c>
      <c r="O5">
        <v>5</v>
      </c>
    </row>
    <row r="6" spans="1:15" x14ac:dyDescent="0.3">
      <c r="A6" s="2"/>
      <c r="D6" s="4">
        <f>AVERAGE(D2:D5)</f>
        <v>8.796296297077788E-4</v>
      </c>
      <c r="E6" s="2"/>
      <c r="F6" s="2"/>
      <c r="G6" s="1"/>
      <c r="H6" s="2"/>
      <c r="I6" s="2"/>
      <c r="J6" s="2">
        <f>AVERAGE(J2:J5)</f>
        <v>4.75</v>
      </c>
      <c r="K6" s="2">
        <f t="shared" ref="K6:L6" si="1">AVERAGE(K2:K5)</f>
        <v>4.5</v>
      </c>
      <c r="L6" s="2">
        <f t="shared" si="1"/>
        <v>4</v>
      </c>
      <c r="M6" s="2">
        <f>COUNTIF(Table1[Our Pricing:],"Slightly Too Expensive")</f>
        <v>3</v>
      </c>
      <c r="N6" s="2">
        <f t="shared" ref="N6" si="2">AVERAGE(N2:N5)</f>
        <v>4.75</v>
      </c>
      <c r="O6" s="2">
        <f t="shared" ref="O6" si="3">AVERAGE(O2:O5)</f>
        <v>4.25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arionsae mccutcheon</cp:lastModifiedBy>
  <dcterms:created xsi:type="dcterms:W3CDTF">2026-10-20T17:00:38Z</dcterms:created>
  <dcterms:modified xsi:type="dcterms:W3CDTF">2026-10-20T17:41:47Z</dcterms:modified>
</cp:coreProperties>
</file>